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93E6C6E-0A4F-47B1-B4F3-39C6D3384E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1" l="1"/>
  <c r="D61" i="1"/>
  <c r="E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C62" i="1"/>
  <c r="C63" i="1"/>
  <c r="C64" i="1"/>
  <c r="C65" i="1"/>
  <c r="C61" i="1"/>
  <c r="D52" i="1"/>
  <c r="D51" i="1"/>
  <c r="D50" i="1"/>
  <c r="D47" i="1"/>
  <c r="D46" i="1"/>
  <c r="C47" i="1"/>
  <c r="C48" i="1"/>
  <c r="C46" i="1"/>
  <c r="B56" i="1"/>
  <c r="B57" i="1"/>
  <c r="B55" i="1"/>
  <c r="B51" i="1"/>
  <c r="B50" i="1"/>
  <c r="B52" i="1"/>
  <c r="B48" i="1"/>
  <c r="B47" i="1"/>
  <c r="B46" i="1"/>
  <c r="C57" i="1" l="1"/>
  <c r="B58" i="1"/>
  <c r="C52" i="1"/>
  <c r="B53" i="1"/>
  <c r="C56" i="1" l="1"/>
  <c r="C58" i="1"/>
  <c r="C55" i="1"/>
  <c r="D55" i="1" s="1"/>
  <c r="D56" i="1" s="1"/>
  <c r="D57" i="1" s="1"/>
  <c r="C51" i="1"/>
  <c r="C53" i="1"/>
  <c r="C50" i="1"/>
</calcChain>
</file>

<file path=xl/sharedStrings.xml><?xml version="1.0" encoding="utf-8"?>
<sst xmlns="http://schemas.openxmlformats.org/spreadsheetml/2006/main" count="170" uniqueCount="39">
  <si>
    <t>Timestamp</t>
  </si>
  <si>
    <t>Jenis Kelamin:</t>
  </si>
  <si>
    <t>Umur:</t>
  </si>
  <si>
    <t>Fakultas:</t>
  </si>
  <si>
    <t xml:space="preserve">  Sistem absensi yang digunakan di kampus mudah dipahami  </t>
  </si>
  <si>
    <t xml:space="preserve">  Proses absensi dapat dilakukan dengan cepat  </t>
  </si>
  <si>
    <t xml:space="preserve">  Sistem absensi jarang mengalami kendala atau error  </t>
  </si>
  <si>
    <t xml:space="preserve">  Sistem absensi memudahkan mahasiswa dalam mencatat kehadiran  </t>
  </si>
  <si>
    <t xml:space="preserve">  Informasi kehadiran yang ditampilkan dalam sistem akurat  </t>
  </si>
  <si>
    <t>laki-laki</t>
  </si>
  <si>
    <t>26-35 tahun</t>
  </si>
  <si>
    <t>Teknik</t>
  </si>
  <si>
    <t>18-25 tahun</t>
  </si>
  <si>
    <t>Perempuan</t>
  </si>
  <si>
    <t>Fikes</t>
  </si>
  <si>
    <t>Ekonomi</t>
  </si>
  <si>
    <t>Laki-laki</t>
  </si>
  <si>
    <t>Total</t>
  </si>
  <si>
    <t>18-25</t>
  </si>
  <si>
    <t>26-35</t>
  </si>
  <si>
    <t>36-45</t>
  </si>
  <si>
    <t>Jenis Kelamin</t>
  </si>
  <si>
    <t>Frekuensi</t>
  </si>
  <si>
    <t>Prosentasi</t>
  </si>
  <si>
    <t>Komulatif</t>
  </si>
  <si>
    <t>Pertanyaan kolom E</t>
  </si>
  <si>
    <t>Pertanyaan kolom F</t>
  </si>
  <si>
    <t>Pertanyaan kolom G</t>
  </si>
  <si>
    <t>Pertanyaan kolom H</t>
  </si>
  <si>
    <t>Pertanyaan kolom I</t>
  </si>
  <si>
    <t>Skala penilaian</t>
  </si>
  <si>
    <t>Usia</t>
  </si>
  <si>
    <t>Fakultas</t>
  </si>
  <si>
    <t>Keterangan</t>
  </si>
  <si>
    <t>Sangat tidak setuju</t>
  </si>
  <si>
    <t>Tidak setuju</t>
  </si>
  <si>
    <t>Netral</t>
  </si>
  <si>
    <t>Setuju</t>
  </si>
  <si>
    <t>Sangat setuju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</si>
</sst>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2"/>
      <color rgb="FF1F1F1F"/>
      <name val="Roboto"/>
    </font>
    <font>
      <sz val="12"/>
      <color rgb="FF1F1F1F"/>
      <name val="Docs-Roboto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3" fillId="0" borderId="2" xfId="0" applyFont="1" applyBorder="1" applyAlignment="1">
      <alignment horizontal="center"/>
    </xf>
    <xf numFmtId="9" fontId="3" fillId="0" borderId="2" xfId="1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0"/>
  <sheetViews>
    <sheetView tabSelected="1" zoomScale="62" zoomScaleNormal="62" workbookViewId="0">
      <pane ySplit="1" topLeftCell="A38" activePane="bottomLeft" state="frozen"/>
      <selection pane="bottomLeft" activeCell="G54" sqref="G54"/>
    </sheetView>
  </sheetViews>
  <sheetFormatPr defaultColWidth="12.5703125" defaultRowHeight="15.75" customHeight="1" x14ac:dyDescent="0.2"/>
  <cols>
    <col min="1" max="4" width="18.85546875" customWidth="1"/>
    <col min="5" max="9" width="37.5703125" customWidth="1"/>
    <col min="10" max="15" width="18.85546875" customWidth="1"/>
  </cols>
  <sheetData>
    <row r="1" spans="1:9" ht="15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4">
        <v>46136.901616030096</v>
      </c>
      <c r="B2" s="3" t="s">
        <v>9</v>
      </c>
      <c r="C2" s="3" t="s">
        <v>10</v>
      </c>
      <c r="D2" s="3" t="s">
        <v>11</v>
      </c>
      <c r="E2" s="3">
        <v>2</v>
      </c>
      <c r="F2" s="3">
        <v>2</v>
      </c>
      <c r="G2" s="3">
        <v>4</v>
      </c>
      <c r="H2" s="3">
        <v>1</v>
      </c>
      <c r="I2" s="3">
        <v>2</v>
      </c>
    </row>
    <row r="3" spans="1:9" x14ac:dyDescent="0.2">
      <c r="A3" s="4">
        <v>46136.912591307875</v>
      </c>
      <c r="B3" s="3" t="s">
        <v>9</v>
      </c>
      <c r="C3" s="3" t="s">
        <v>12</v>
      </c>
      <c r="D3" s="3" t="s">
        <v>11</v>
      </c>
      <c r="E3" s="3">
        <v>2</v>
      </c>
      <c r="F3" s="3">
        <v>2</v>
      </c>
      <c r="G3" s="3">
        <v>4</v>
      </c>
      <c r="H3" s="3">
        <v>2</v>
      </c>
      <c r="I3" s="3">
        <v>1</v>
      </c>
    </row>
    <row r="4" spans="1:9" x14ac:dyDescent="0.2">
      <c r="A4" s="4">
        <v>46136.912919270835</v>
      </c>
      <c r="B4" s="3" t="s">
        <v>13</v>
      </c>
      <c r="C4" s="3" t="s">
        <v>12</v>
      </c>
      <c r="D4" s="3" t="s">
        <v>14</v>
      </c>
      <c r="E4" s="3">
        <v>1</v>
      </c>
      <c r="F4" s="3">
        <v>2</v>
      </c>
      <c r="G4" s="3">
        <v>2</v>
      </c>
      <c r="H4" s="3">
        <v>2</v>
      </c>
      <c r="I4" s="3">
        <v>2</v>
      </c>
    </row>
    <row r="5" spans="1:9" x14ac:dyDescent="0.2">
      <c r="A5" s="4">
        <v>46136.913589236108</v>
      </c>
      <c r="B5" s="3" t="s">
        <v>9</v>
      </c>
      <c r="C5" s="3" t="s">
        <v>10</v>
      </c>
      <c r="D5" s="3" t="s">
        <v>15</v>
      </c>
      <c r="E5" s="3">
        <v>1</v>
      </c>
      <c r="F5" s="3">
        <v>2</v>
      </c>
      <c r="G5" s="3">
        <v>4</v>
      </c>
      <c r="H5" s="3">
        <v>2</v>
      </c>
      <c r="I5" s="3">
        <v>2</v>
      </c>
    </row>
    <row r="6" spans="1:9" x14ac:dyDescent="0.2">
      <c r="A6" s="4">
        <v>46136.913858506945</v>
      </c>
      <c r="B6" s="3" t="s">
        <v>9</v>
      </c>
      <c r="C6" s="3" t="s">
        <v>12</v>
      </c>
      <c r="D6" s="3" t="s">
        <v>15</v>
      </c>
      <c r="E6" s="3">
        <v>3</v>
      </c>
      <c r="F6" s="3">
        <v>3</v>
      </c>
      <c r="G6" s="3">
        <v>2</v>
      </c>
      <c r="H6" s="3">
        <v>3</v>
      </c>
      <c r="I6" s="3">
        <v>2</v>
      </c>
    </row>
    <row r="7" spans="1:9" x14ac:dyDescent="0.2">
      <c r="A7" s="4">
        <v>46136.914594351852</v>
      </c>
      <c r="B7" s="3" t="s">
        <v>13</v>
      </c>
      <c r="C7" s="3" t="s">
        <v>12</v>
      </c>
      <c r="D7" s="3" t="s">
        <v>15</v>
      </c>
      <c r="E7" s="3">
        <v>2</v>
      </c>
      <c r="F7" s="3">
        <v>3</v>
      </c>
      <c r="G7" s="3">
        <v>3</v>
      </c>
      <c r="H7" s="3">
        <v>2</v>
      </c>
      <c r="I7" s="3">
        <v>2</v>
      </c>
    </row>
    <row r="8" spans="1:9" x14ac:dyDescent="0.2">
      <c r="A8" s="4">
        <v>46136.915321608802</v>
      </c>
      <c r="B8" s="3" t="s">
        <v>9</v>
      </c>
      <c r="C8" s="3" t="s">
        <v>10</v>
      </c>
      <c r="D8" s="3" t="s">
        <v>11</v>
      </c>
      <c r="E8" s="3">
        <v>2</v>
      </c>
      <c r="F8" s="3">
        <v>3</v>
      </c>
      <c r="G8" s="3">
        <v>2</v>
      </c>
      <c r="H8" s="3">
        <v>3</v>
      </c>
      <c r="I8" s="3">
        <v>3</v>
      </c>
    </row>
    <row r="9" spans="1:9" x14ac:dyDescent="0.2">
      <c r="A9" s="4">
        <v>46136.915787673614</v>
      </c>
      <c r="B9" s="3" t="s">
        <v>13</v>
      </c>
      <c r="C9" s="3" t="s">
        <v>12</v>
      </c>
      <c r="D9" s="3" t="s">
        <v>11</v>
      </c>
      <c r="E9" s="3">
        <v>2</v>
      </c>
      <c r="F9" s="3">
        <v>3</v>
      </c>
      <c r="G9" s="3">
        <v>3</v>
      </c>
      <c r="H9" s="3">
        <v>2</v>
      </c>
      <c r="I9" s="3">
        <v>2</v>
      </c>
    </row>
    <row r="10" spans="1:9" x14ac:dyDescent="0.2">
      <c r="A10" s="4">
        <v>46136.916545821761</v>
      </c>
      <c r="B10" s="3" t="s">
        <v>13</v>
      </c>
      <c r="C10" s="3" t="s">
        <v>12</v>
      </c>
      <c r="D10" s="3" t="s">
        <v>14</v>
      </c>
      <c r="E10" s="3">
        <v>2</v>
      </c>
      <c r="F10" s="3">
        <v>2</v>
      </c>
      <c r="G10" s="3">
        <v>2</v>
      </c>
      <c r="H10" s="3">
        <v>3</v>
      </c>
      <c r="I10" s="3">
        <v>3</v>
      </c>
    </row>
    <row r="11" spans="1:9" x14ac:dyDescent="0.2">
      <c r="A11" s="4">
        <v>46136.916874085648</v>
      </c>
      <c r="B11" s="3" t="s">
        <v>9</v>
      </c>
      <c r="C11" s="3" t="s">
        <v>12</v>
      </c>
      <c r="D11" s="3" t="s">
        <v>11</v>
      </c>
      <c r="E11" s="3">
        <v>5</v>
      </c>
      <c r="F11" s="3">
        <v>5</v>
      </c>
      <c r="G11" s="3">
        <v>3</v>
      </c>
      <c r="H11" s="3">
        <v>4</v>
      </c>
      <c r="I11" s="3">
        <v>5</v>
      </c>
    </row>
    <row r="12" spans="1:9" x14ac:dyDescent="0.2">
      <c r="A12" s="4">
        <v>46136.917087581023</v>
      </c>
      <c r="B12" s="3" t="s">
        <v>9</v>
      </c>
      <c r="C12" s="3" t="s">
        <v>12</v>
      </c>
      <c r="D12" s="3" t="s">
        <v>15</v>
      </c>
      <c r="E12" s="3">
        <v>4</v>
      </c>
      <c r="F12" s="3">
        <v>4</v>
      </c>
      <c r="G12" s="3">
        <v>4</v>
      </c>
      <c r="H12" s="3">
        <v>3</v>
      </c>
      <c r="I12" s="3">
        <v>5</v>
      </c>
    </row>
    <row r="13" spans="1:9" x14ac:dyDescent="0.2">
      <c r="A13" s="4">
        <v>46136.917356377315</v>
      </c>
      <c r="B13" s="3" t="s">
        <v>13</v>
      </c>
      <c r="C13" s="3" t="s">
        <v>10</v>
      </c>
      <c r="D13" s="3" t="s">
        <v>15</v>
      </c>
      <c r="E13" s="3">
        <v>4</v>
      </c>
      <c r="F13" s="3">
        <v>4</v>
      </c>
      <c r="G13" s="3">
        <v>3</v>
      </c>
      <c r="H13" s="3">
        <v>3</v>
      </c>
      <c r="I13" s="3">
        <v>4</v>
      </c>
    </row>
    <row r="14" spans="1:9" x14ac:dyDescent="0.2">
      <c r="A14" s="4">
        <v>46136.917755150462</v>
      </c>
      <c r="B14" s="3" t="s">
        <v>9</v>
      </c>
      <c r="C14" s="3" t="s">
        <v>12</v>
      </c>
      <c r="D14" s="3" t="s">
        <v>15</v>
      </c>
      <c r="E14" s="3">
        <v>3</v>
      </c>
      <c r="F14" s="3">
        <v>3</v>
      </c>
      <c r="G14" s="3">
        <v>3</v>
      </c>
      <c r="H14" s="3">
        <v>4</v>
      </c>
      <c r="I14" s="3">
        <v>4</v>
      </c>
    </row>
    <row r="15" spans="1:9" x14ac:dyDescent="0.2">
      <c r="A15" s="4">
        <v>46136.918061041666</v>
      </c>
      <c r="B15" s="3" t="s">
        <v>9</v>
      </c>
      <c r="C15" s="3" t="s">
        <v>12</v>
      </c>
      <c r="D15" s="3" t="s">
        <v>11</v>
      </c>
      <c r="E15" s="3">
        <v>3</v>
      </c>
      <c r="F15" s="3">
        <v>3</v>
      </c>
      <c r="G15" s="3">
        <v>4</v>
      </c>
      <c r="H15" s="3">
        <v>4</v>
      </c>
      <c r="I15" s="3">
        <v>4</v>
      </c>
    </row>
    <row r="16" spans="1:9" x14ac:dyDescent="0.2">
      <c r="A16" s="4">
        <v>46136.918308969907</v>
      </c>
      <c r="B16" s="3" t="s">
        <v>13</v>
      </c>
      <c r="C16" s="3" t="s">
        <v>12</v>
      </c>
      <c r="D16" s="3" t="s">
        <v>11</v>
      </c>
      <c r="E16" s="3">
        <v>4</v>
      </c>
      <c r="F16" s="3">
        <v>3</v>
      </c>
      <c r="G16" s="3">
        <v>3</v>
      </c>
      <c r="H16" s="3">
        <v>4</v>
      </c>
      <c r="I16" s="3">
        <v>4</v>
      </c>
    </row>
    <row r="17" spans="1:9" x14ac:dyDescent="0.2">
      <c r="A17" s="4">
        <v>46136.918881331017</v>
      </c>
      <c r="B17" s="3" t="s">
        <v>13</v>
      </c>
      <c r="C17" s="3" t="s">
        <v>12</v>
      </c>
      <c r="D17" s="3" t="s">
        <v>14</v>
      </c>
      <c r="E17" s="3">
        <v>4</v>
      </c>
      <c r="F17" s="3">
        <v>4</v>
      </c>
      <c r="G17" s="3">
        <v>4</v>
      </c>
      <c r="H17" s="3">
        <v>4</v>
      </c>
      <c r="I17" s="3">
        <v>4</v>
      </c>
    </row>
    <row r="18" spans="1:9" x14ac:dyDescent="0.2">
      <c r="A18" s="4">
        <v>46136.919094456018</v>
      </c>
      <c r="B18" s="3" t="s">
        <v>9</v>
      </c>
      <c r="C18" s="3" t="s">
        <v>10</v>
      </c>
      <c r="D18" s="3" t="s">
        <v>11</v>
      </c>
      <c r="E18" s="3">
        <v>3</v>
      </c>
      <c r="F18" s="3">
        <v>3</v>
      </c>
      <c r="G18" s="3">
        <v>3</v>
      </c>
      <c r="H18" s="3">
        <v>3</v>
      </c>
      <c r="I18" s="3">
        <v>3</v>
      </c>
    </row>
    <row r="19" spans="1:9" x14ac:dyDescent="0.2">
      <c r="A19" s="4">
        <v>46136.919385381945</v>
      </c>
      <c r="B19" s="3" t="s">
        <v>9</v>
      </c>
      <c r="C19" s="3" t="s">
        <v>12</v>
      </c>
      <c r="D19" s="3" t="s">
        <v>11</v>
      </c>
      <c r="E19" s="3">
        <v>3</v>
      </c>
      <c r="F19" s="3">
        <v>3</v>
      </c>
      <c r="G19" s="3">
        <v>4</v>
      </c>
      <c r="H19" s="3">
        <v>4</v>
      </c>
      <c r="I19" s="3">
        <v>3</v>
      </c>
    </row>
    <row r="20" spans="1:9" x14ac:dyDescent="0.2">
      <c r="A20" s="4">
        <v>46136.919707291665</v>
      </c>
      <c r="B20" s="3" t="s">
        <v>9</v>
      </c>
      <c r="C20" s="3" t="s">
        <v>10</v>
      </c>
      <c r="D20" s="3" t="s">
        <v>15</v>
      </c>
      <c r="E20" s="3">
        <v>3</v>
      </c>
      <c r="F20" s="3">
        <v>3</v>
      </c>
      <c r="G20" s="3">
        <v>4</v>
      </c>
      <c r="H20" s="3">
        <v>3</v>
      </c>
      <c r="I20" s="3">
        <v>2</v>
      </c>
    </row>
    <row r="21" spans="1:9" x14ac:dyDescent="0.2">
      <c r="A21" s="4">
        <v>46136.919920405096</v>
      </c>
      <c r="B21" s="3" t="s">
        <v>9</v>
      </c>
      <c r="C21" s="3" t="s">
        <v>10</v>
      </c>
      <c r="D21" s="3" t="s">
        <v>15</v>
      </c>
      <c r="E21" s="3">
        <v>3</v>
      </c>
      <c r="F21" s="3">
        <v>4</v>
      </c>
      <c r="G21" s="3">
        <v>4</v>
      </c>
      <c r="H21" s="3">
        <v>5</v>
      </c>
      <c r="I21" s="3">
        <v>4</v>
      </c>
    </row>
    <row r="22" spans="1:9" x14ac:dyDescent="0.2">
      <c r="A22" s="4">
        <v>46136.920193599537</v>
      </c>
      <c r="B22" s="3" t="s">
        <v>9</v>
      </c>
      <c r="C22" s="3" t="s">
        <v>12</v>
      </c>
      <c r="D22" s="3" t="s">
        <v>15</v>
      </c>
      <c r="E22" s="3">
        <v>5</v>
      </c>
      <c r="F22" s="3">
        <v>5</v>
      </c>
      <c r="G22" s="3">
        <v>4</v>
      </c>
      <c r="H22" s="3">
        <v>4</v>
      </c>
      <c r="I22" s="3">
        <v>5</v>
      </c>
    </row>
    <row r="23" spans="1:9" x14ac:dyDescent="0.2">
      <c r="A23" s="4">
        <v>46136.92063792824</v>
      </c>
      <c r="B23" s="3" t="s">
        <v>13</v>
      </c>
      <c r="C23" s="3" t="s">
        <v>12</v>
      </c>
      <c r="D23" s="3" t="s">
        <v>14</v>
      </c>
      <c r="E23" s="3">
        <v>3</v>
      </c>
      <c r="F23" s="3">
        <v>3</v>
      </c>
      <c r="G23" s="3">
        <v>2</v>
      </c>
      <c r="H23" s="3">
        <v>4</v>
      </c>
      <c r="I23" s="3">
        <v>4</v>
      </c>
    </row>
    <row r="24" spans="1:9" ht="12.75" x14ac:dyDescent="0.2">
      <c r="A24" s="4">
        <v>46136.920880763893</v>
      </c>
      <c r="B24" s="3" t="s">
        <v>13</v>
      </c>
      <c r="C24" s="3" t="s">
        <v>10</v>
      </c>
      <c r="D24" s="3" t="s">
        <v>15</v>
      </c>
      <c r="E24" s="3">
        <v>3</v>
      </c>
      <c r="F24" s="3">
        <v>3</v>
      </c>
      <c r="G24" s="3">
        <v>4</v>
      </c>
      <c r="H24" s="3">
        <v>3</v>
      </c>
      <c r="I24" s="3">
        <v>4</v>
      </c>
    </row>
    <row r="25" spans="1:9" ht="12.75" x14ac:dyDescent="0.2">
      <c r="A25" s="4">
        <v>46136.922213611106</v>
      </c>
      <c r="B25" s="3" t="s">
        <v>13</v>
      </c>
      <c r="C25" s="3" t="s">
        <v>12</v>
      </c>
      <c r="D25" s="3" t="s">
        <v>14</v>
      </c>
      <c r="E25" s="3">
        <v>3</v>
      </c>
      <c r="F25" s="3">
        <v>4</v>
      </c>
      <c r="G25" s="3">
        <v>4</v>
      </c>
      <c r="H25" s="3">
        <v>3</v>
      </c>
      <c r="I25" s="3">
        <v>3</v>
      </c>
    </row>
    <row r="26" spans="1:9" ht="12.75" x14ac:dyDescent="0.2">
      <c r="A26" s="4">
        <v>46136.922552453703</v>
      </c>
      <c r="B26" s="3" t="s">
        <v>9</v>
      </c>
      <c r="C26" s="3" t="s">
        <v>12</v>
      </c>
      <c r="D26" s="3" t="s">
        <v>15</v>
      </c>
      <c r="E26" s="3">
        <v>3</v>
      </c>
      <c r="F26" s="3">
        <v>3</v>
      </c>
      <c r="G26" s="3">
        <v>4</v>
      </c>
      <c r="H26" s="3">
        <v>3</v>
      </c>
      <c r="I26" s="3">
        <v>5</v>
      </c>
    </row>
    <row r="27" spans="1:9" ht="12.75" x14ac:dyDescent="0.2">
      <c r="A27" s="4">
        <v>46136.922744062496</v>
      </c>
      <c r="B27" s="3" t="s">
        <v>9</v>
      </c>
      <c r="C27" s="3" t="s">
        <v>12</v>
      </c>
      <c r="D27" s="3" t="s">
        <v>15</v>
      </c>
      <c r="E27" s="3">
        <v>3</v>
      </c>
      <c r="F27" s="3">
        <v>3</v>
      </c>
      <c r="G27" s="3">
        <v>4</v>
      </c>
      <c r="H27" s="3">
        <v>3</v>
      </c>
      <c r="I27" s="3">
        <v>4</v>
      </c>
    </row>
    <row r="28" spans="1:9" ht="12.75" x14ac:dyDescent="0.2">
      <c r="A28" s="4">
        <v>46136.922999548609</v>
      </c>
      <c r="B28" s="3" t="s">
        <v>9</v>
      </c>
      <c r="C28" s="3" t="s">
        <v>12</v>
      </c>
      <c r="D28" s="3" t="s">
        <v>11</v>
      </c>
      <c r="E28" s="3">
        <v>4</v>
      </c>
      <c r="F28" s="3">
        <v>4</v>
      </c>
      <c r="G28" s="3">
        <v>4</v>
      </c>
      <c r="H28" s="3">
        <v>4</v>
      </c>
      <c r="I28" s="3">
        <v>4</v>
      </c>
    </row>
    <row r="29" spans="1:9" ht="12.75" x14ac:dyDescent="0.2">
      <c r="A29" s="4">
        <v>46136.923729837959</v>
      </c>
      <c r="B29" s="3" t="s">
        <v>9</v>
      </c>
      <c r="C29" s="3" t="s">
        <v>10</v>
      </c>
      <c r="D29" s="3" t="s">
        <v>14</v>
      </c>
      <c r="E29" s="3">
        <v>3</v>
      </c>
      <c r="F29" s="3">
        <v>4</v>
      </c>
      <c r="G29" s="3">
        <v>3</v>
      </c>
      <c r="H29" s="3">
        <v>4</v>
      </c>
      <c r="I29" s="3">
        <v>4</v>
      </c>
    </row>
    <row r="30" spans="1:9" ht="12.75" x14ac:dyDescent="0.2">
      <c r="A30" s="4">
        <v>46136.924086805557</v>
      </c>
      <c r="B30" s="3" t="s">
        <v>13</v>
      </c>
      <c r="C30" s="3" t="s">
        <v>12</v>
      </c>
      <c r="D30" s="3" t="s">
        <v>14</v>
      </c>
      <c r="E30" s="3">
        <v>3</v>
      </c>
      <c r="F30" s="3">
        <v>4</v>
      </c>
      <c r="G30" s="3">
        <v>3</v>
      </c>
      <c r="H30" s="3">
        <v>4</v>
      </c>
      <c r="I30" s="3">
        <v>4</v>
      </c>
    </row>
    <row r="31" spans="1:9" ht="12.75" x14ac:dyDescent="0.2">
      <c r="A31" s="4">
        <v>46136.925045555559</v>
      </c>
      <c r="B31" s="3" t="s">
        <v>13</v>
      </c>
      <c r="C31" s="3" t="s">
        <v>12</v>
      </c>
      <c r="D31" s="3" t="s">
        <v>14</v>
      </c>
      <c r="E31" s="3">
        <v>3</v>
      </c>
      <c r="F31" s="3">
        <v>4</v>
      </c>
      <c r="G31" s="3">
        <v>3</v>
      </c>
      <c r="H31" s="3">
        <v>3</v>
      </c>
      <c r="I31" s="3">
        <v>4</v>
      </c>
    </row>
    <row r="32" spans="1:9" ht="12.75" x14ac:dyDescent="0.2">
      <c r="A32" s="4">
        <v>46136.926104895829</v>
      </c>
      <c r="B32" s="3" t="s">
        <v>13</v>
      </c>
      <c r="C32" s="3" t="s">
        <v>10</v>
      </c>
      <c r="D32" s="3" t="s">
        <v>14</v>
      </c>
      <c r="E32" s="3">
        <v>3</v>
      </c>
      <c r="F32" s="3">
        <v>4</v>
      </c>
      <c r="G32" s="3">
        <v>3</v>
      </c>
      <c r="H32" s="3">
        <v>3</v>
      </c>
      <c r="I32" s="3">
        <v>4</v>
      </c>
    </row>
    <row r="33" spans="1:9" ht="12.75" x14ac:dyDescent="0.2">
      <c r="A33" s="4">
        <v>46136.927239629629</v>
      </c>
      <c r="B33" s="3" t="s">
        <v>13</v>
      </c>
      <c r="C33" s="3" t="s">
        <v>12</v>
      </c>
      <c r="D33" s="3" t="s">
        <v>15</v>
      </c>
      <c r="E33" s="3">
        <v>3</v>
      </c>
      <c r="F33" s="3">
        <v>3</v>
      </c>
      <c r="G33" s="3">
        <v>4</v>
      </c>
      <c r="H33" s="3">
        <v>4</v>
      </c>
      <c r="I33" s="3">
        <v>5</v>
      </c>
    </row>
    <row r="34" spans="1:9" ht="12.75" x14ac:dyDescent="0.2">
      <c r="A34" s="4">
        <v>46136.928153715278</v>
      </c>
      <c r="B34" s="3" t="s">
        <v>9</v>
      </c>
      <c r="C34" s="3" t="s">
        <v>12</v>
      </c>
      <c r="D34" s="3" t="s">
        <v>11</v>
      </c>
      <c r="E34" s="3">
        <v>3</v>
      </c>
      <c r="F34" s="3">
        <v>4</v>
      </c>
      <c r="G34" s="3">
        <v>5</v>
      </c>
      <c r="H34" s="3">
        <v>5</v>
      </c>
      <c r="I34" s="3">
        <v>4</v>
      </c>
    </row>
    <row r="35" spans="1:9" ht="12.75" x14ac:dyDescent="0.2">
      <c r="A35" s="4">
        <v>46136.931022523146</v>
      </c>
      <c r="B35" s="3" t="s">
        <v>9</v>
      </c>
      <c r="C35" s="3" t="s">
        <v>12</v>
      </c>
      <c r="D35" s="3" t="s">
        <v>11</v>
      </c>
      <c r="E35" s="3">
        <v>3</v>
      </c>
      <c r="F35" s="3">
        <v>3</v>
      </c>
      <c r="G35" s="3">
        <v>4</v>
      </c>
      <c r="H35" s="3">
        <v>4</v>
      </c>
      <c r="I35" s="3">
        <v>4</v>
      </c>
    </row>
    <row r="36" spans="1:9" ht="12.75" x14ac:dyDescent="0.2">
      <c r="A36" s="4">
        <v>46136.931629247687</v>
      </c>
      <c r="B36" s="3" t="s">
        <v>9</v>
      </c>
      <c r="C36" s="3" t="s">
        <v>12</v>
      </c>
      <c r="D36" s="3" t="s">
        <v>14</v>
      </c>
      <c r="E36" s="3">
        <v>3</v>
      </c>
      <c r="F36" s="3">
        <v>4</v>
      </c>
      <c r="G36" s="3">
        <v>4</v>
      </c>
      <c r="H36" s="3">
        <v>4</v>
      </c>
      <c r="I36" s="3">
        <v>4</v>
      </c>
    </row>
    <row r="37" spans="1:9" ht="12.75" x14ac:dyDescent="0.2">
      <c r="A37" s="4">
        <v>46136.937544340282</v>
      </c>
      <c r="B37" s="3" t="s">
        <v>9</v>
      </c>
      <c r="C37" s="3" t="s">
        <v>10</v>
      </c>
      <c r="D37" s="3" t="s">
        <v>11</v>
      </c>
      <c r="E37" s="3">
        <v>3</v>
      </c>
      <c r="F37" s="3">
        <v>4</v>
      </c>
      <c r="G37" s="3">
        <v>3</v>
      </c>
      <c r="H37" s="3">
        <v>4</v>
      </c>
      <c r="I37" s="3">
        <v>5</v>
      </c>
    </row>
    <row r="38" spans="1:9" ht="12.75" x14ac:dyDescent="0.2">
      <c r="A38" s="4">
        <v>46136.937743495371</v>
      </c>
      <c r="B38" s="3" t="s">
        <v>9</v>
      </c>
      <c r="C38" s="3" t="s">
        <v>10</v>
      </c>
      <c r="D38" s="3" t="s">
        <v>11</v>
      </c>
      <c r="E38" s="3">
        <v>3</v>
      </c>
      <c r="F38" s="3">
        <v>4</v>
      </c>
      <c r="G38" s="3">
        <v>3</v>
      </c>
      <c r="H38" s="3">
        <v>4</v>
      </c>
      <c r="I38" s="3">
        <v>5</v>
      </c>
    </row>
    <row r="39" spans="1:9" ht="12.75" x14ac:dyDescent="0.2">
      <c r="A39" s="4">
        <v>46136.938188761575</v>
      </c>
      <c r="B39" s="3" t="s">
        <v>9</v>
      </c>
      <c r="C39" s="3" t="s">
        <v>10</v>
      </c>
      <c r="D39" s="3" t="s">
        <v>11</v>
      </c>
      <c r="E39" s="3">
        <v>3</v>
      </c>
      <c r="F39" s="3">
        <v>4</v>
      </c>
      <c r="G39" s="3">
        <v>5</v>
      </c>
      <c r="H39" s="3">
        <v>5</v>
      </c>
      <c r="I39" s="3">
        <v>5</v>
      </c>
    </row>
    <row r="40" spans="1:9" ht="12.75" x14ac:dyDescent="0.2">
      <c r="A40" s="4">
        <v>46136.938387418981</v>
      </c>
      <c r="B40" s="3" t="s">
        <v>9</v>
      </c>
      <c r="C40" s="3" t="s">
        <v>12</v>
      </c>
      <c r="D40" s="3" t="s">
        <v>14</v>
      </c>
      <c r="E40" s="3">
        <v>3</v>
      </c>
      <c r="F40" s="3">
        <v>5</v>
      </c>
      <c r="G40" s="3">
        <v>4</v>
      </c>
      <c r="H40" s="3">
        <v>5</v>
      </c>
      <c r="I40" s="3">
        <v>5</v>
      </c>
    </row>
    <row r="41" spans="1:9" ht="12.75" x14ac:dyDescent="0.2">
      <c r="A41" s="4">
        <v>46136.938693298609</v>
      </c>
      <c r="B41" s="3" t="s">
        <v>13</v>
      </c>
      <c r="C41" s="3" t="s">
        <v>12</v>
      </c>
      <c r="D41" s="3" t="s">
        <v>15</v>
      </c>
      <c r="E41" s="3">
        <v>3</v>
      </c>
      <c r="F41" s="3">
        <v>3</v>
      </c>
      <c r="G41" s="3">
        <v>4</v>
      </c>
      <c r="H41" s="3">
        <v>4</v>
      </c>
      <c r="I41" s="3">
        <v>5</v>
      </c>
    </row>
    <row r="42" spans="1:9" ht="12.75" x14ac:dyDescent="0.2">
      <c r="A42" s="4">
        <v>46136.938864745374</v>
      </c>
      <c r="B42" s="3" t="s">
        <v>13</v>
      </c>
      <c r="C42" s="3" t="s">
        <v>12</v>
      </c>
      <c r="D42" s="3" t="s">
        <v>15</v>
      </c>
      <c r="E42" s="3">
        <v>5</v>
      </c>
      <c r="F42" s="3">
        <v>5</v>
      </c>
      <c r="G42" s="3">
        <v>4</v>
      </c>
      <c r="H42" s="3">
        <v>4</v>
      </c>
      <c r="I42" s="3">
        <v>5</v>
      </c>
    </row>
    <row r="43" spans="1:9" ht="12.75" x14ac:dyDescent="0.2">
      <c r="A43" s="4">
        <v>46136.93919907407</v>
      </c>
      <c r="B43" s="3" t="s">
        <v>13</v>
      </c>
      <c r="C43" s="3" t="s">
        <v>12</v>
      </c>
      <c r="D43" s="3" t="s">
        <v>14</v>
      </c>
      <c r="E43" s="3">
        <v>4</v>
      </c>
      <c r="F43" s="3">
        <v>5</v>
      </c>
      <c r="G43" s="3">
        <v>5</v>
      </c>
      <c r="H43" s="3">
        <v>5</v>
      </c>
      <c r="I43" s="3">
        <v>5</v>
      </c>
    </row>
    <row r="44" spans="1:9" ht="12.75" x14ac:dyDescent="0.2">
      <c r="A44" s="3"/>
      <c r="B44" s="3"/>
      <c r="C44" s="3"/>
      <c r="D44" s="3"/>
      <c r="E44" s="3"/>
      <c r="F44" s="3"/>
      <c r="G44" s="3"/>
      <c r="H44" s="3"/>
      <c r="I44" s="3"/>
    </row>
    <row r="45" spans="1:9" ht="12.75" x14ac:dyDescent="0.2">
      <c r="A45" s="24" t="s">
        <v>21</v>
      </c>
      <c r="B45" s="24" t="s">
        <v>22</v>
      </c>
      <c r="C45" s="24" t="s">
        <v>23</v>
      </c>
      <c r="D45" s="24" t="s">
        <v>24</v>
      </c>
      <c r="E45" s="3"/>
      <c r="F45" s="3"/>
      <c r="G45" s="3"/>
      <c r="H45" s="3"/>
      <c r="I45" s="3"/>
    </row>
    <row r="46" spans="1:9" ht="12.75" x14ac:dyDescent="0.2">
      <c r="A46" s="5" t="s">
        <v>16</v>
      </c>
      <c r="B46" s="5">
        <f>COUNTIF(B2:B43,"laki-laki")</f>
        <v>25</v>
      </c>
      <c r="C46" s="6">
        <f>B46/$B$48</f>
        <v>0.59523809523809523</v>
      </c>
      <c r="D46" s="7">
        <f>C46</f>
        <v>0.59523809523809523</v>
      </c>
      <c r="E46" s="3"/>
      <c r="F46" s="3"/>
      <c r="G46" s="3"/>
      <c r="H46" s="3"/>
      <c r="I46" s="3"/>
    </row>
    <row r="47" spans="1:9" ht="12.75" x14ac:dyDescent="0.2">
      <c r="A47" s="5" t="s">
        <v>13</v>
      </c>
      <c r="B47" s="5">
        <f>COUNTIF(B3:B44,"perempuan")</f>
        <v>17</v>
      </c>
      <c r="C47" s="6">
        <f t="shared" ref="C47:C48" si="0">B47/$B$48</f>
        <v>0.40476190476190477</v>
      </c>
      <c r="D47" s="7">
        <f>D46+C47</f>
        <v>1</v>
      </c>
      <c r="E47" s="3"/>
      <c r="F47" s="3"/>
      <c r="G47" s="3"/>
      <c r="H47" s="3"/>
      <c r="I47" s="3"/>
    </row>
    <row r="48" spans="1:9" ht="15.75" customHeight="1" x14ac:dyDescent="0.2">
      <c r="A48" s="8" t="s">
        <v>17</v>
      </c>
      <c r="B48" s="9">
        <f>B46+B47</f>
        <v>42</v>
      </c>
      <c r="C48" s="6">
        <f t="shared" si="0"/>
        <v>1</v>
      </c>
      <c r="D48" s="9"/>
    </row>
    <row r="49" spans="1:7" ht="12.75" x14ac:dyDescent="0.2">
      <c r="A49" s="22" t="s">
        <v>31</v>
      </c>
      <c r="B49" s="24" t="s">
        <v>22</v>
      </c>
      <c r="C49" s="24" t="s">
        <v>23</v>
      </c>
      <c r="D49" s="24" t="s">
        <v>24</v>
      </c>
    </row>
    <row r="50" spans="1:7" ht="12.75" x14ac:dyDescent="0.2">
      <c r="A50" s="10" t="s">
        <v>18</v>
      </c>
      <c r="B50" s="9">
        <f>COUNTIF(C2:C43,C41)</f>
        <v>29</v>
      </c>
      <c r="C50" s="11">
        <f>B50/$B$53</f>
        <v>0.69047619047619047</v>
      </c>
      <c r="D50" s="12">
        <f>C50</f>
        <v>0.69047619047619047</v>
      </c>
    </row>
    <row r="51" spans="1:7" ht="12.75" x14ac:dyDescent="0.2">
      <c r="A51" s="10" t="s">
        <v>19</v>
      </c>
      <c r="B51" s="9">
        <f>COUNTIF(C2:C43,C2)</f>
        <v>13</v>
      </c>
      <c r="C51" s="11">
        <f t="shared" ref="C51:C53" si="1">B51/$B$53</f>
        <v>0.30952380952380953</v>
      </c>
      <c r="D51" s="12">
        <f>D50+C51</f>
        <v>1</v>
      </c>
    </row>
    <row r="52" spans="1:7" ht="12.75" x14ac:dyDescent="0.2">
      <c r="A52" s="10" t="s">
        <v>20</v>
      </c>
      <c r="B52" s="9">
        <f>COUNTIF(C4:C45,"36-45")</f>
        <v>0</v>
      </c>
      <c r="C52" s="11">
        <f t="shared" si="1"/>
        <v>0</v>
      </c>
      <c r="D52" s="12">
        <f>D51+C52</f>
        <v>1</v>
      </c>
    </row>
    <row r="53" spans="1:7" ht="12.75" x14ac:dyDescent="0.2">
      <c r="A53" s="10" t="s">
        <v>17</v>
      </c>
      <c r="B53" s="9">
        <f>B50+B51+B52</f>
        <v>42</v>
      </c>
      <c r="C53" s="11">
        <f t="shared" si="1"/>
        <v>1</v>
      </c>
      <c r="D53" s="9"/>
    </row>
    <row r="54" spans="1:7" ht="12.75" x14ac:dyDescent="0.2">
      <c r="A54" s="22" t="s">
        <v>32</v>
      </c>
      <c r="B54" s="24" t="s">
        <v>22</v>
      </c>
      <c r="C54" s="24" t="s">
        <v>23</v>
      </c>
      <c r="D54" s="24" t="s">
        <v>24</v>
      </c>
    </row>
    <row r="55" spans="1:7" ht="12.75" x14ac:dyDescent="0.2">
      <c r="A55" s="10" t="s">
        <v>11</v>
      </c>
      <c r="B55" s="9">
        <f>COUNTIF(D2:D43,D2)</f>
        <v>15</v>
      </c>
      <c r="C55" s="11">
        <f>B55/$B$58</f>
        <v>0.35714285714285715</v>
      </c>
      <c r="D55" s="12">
        <f>C55</f>
        <v>0.35714285714285715</v>
      </c>
    </row>
    <row r="56" spans="1:7" ht="12.75" x14ac:dyDescent="0.2">
      <c r="A56" s="10" t="s">
        <v>15</v>
      </c>
      <c r="B56" s="9">
        <f>COUNTIF(D2:D43,D5)</f>
        <v>15</v>
      </c>
      <c r="C56" s="11">
        <f t="shared" ref="C56:C58" si="2">B56/$B$58</f>
        <v>0.35714285714285715</v>
      </c>
      <c r="D56" s="12">
        <f>D55+C56</f>
        <v>0.7142857142857143</v>
      </c>
    </row>
    <row r="57" spans="1:7" ht="12.75" x14ac:dyDescent="0.2">
      <c r="A57" s="10" t="s">
        <v>14</v>
      </c>
      <c r="B57" s="9">
        <f>COUNTIF(D4:D45,D4)</f>
        <v>12</v>
      </c>
      <c r="C57" s="11">
        <f t="shared" si="2"/>
        <v>0.2857142857142857</v>
      </c>
      <c r="D57" s="12">
        <f>D56+C57</f>
        <v>1</v>
      </c>
    </row>
    <row r="58" spans="1:7" ht="12.75" x14ac:dyDescent="0.2">
      <c r="A58" s="10" t="s">
        <v>17</v>
      </c>
      <c r="B58" s="9">
        <f>B55+B56+B57</f>
        <v>42</v>
      </c>
      <c r="C58" s="11">
        <f t="shared" si="2"/>
        <v>1</v>
      </c>
      <c r="D58" s="9"/>
    </row>
    <row r="59" spans="1:7" ht="12.75" x14ac:dyDescent="0.2">
      <c r="A59" s="4"/>
    </row>
    <row r="60" spans="1:7" ht="12.75" x14ac:dyDescent="0.2">
      <c r="A60" s="22" t="s">
        <v>33</v>
      </c>
      <c r="B60" s="23" t="s">
        <v>30</v>
      </c>
      <c r="C60" s="23" t="s">
        <v>25</v>
      </c>
      <c r="D60" s="23" t="s">
        <v>26</v>
      </c>
      <c r="E60" s="23" t="s">
        <v>27</v>
      </c>
      <c r="F60" s="23" t="s">
        <v>28</v>
      </c>
      <c r="G60" s="23" t="s">
        <v>29</v>
      </c>
    </row>
    <row r="61" spans="1:7" ht="12.75" x14ac:dyDescent="0.2">
      <c r="A61" s="10" t="s">
        <v>34</v>
      </c>
      <c r="B61" s="9">
        <v>1</v>
      </c>
      <c r="C61" s="13">
        <f>COUNTIF(E$2:E$43,$B61)</f>
        <v>2</v>
      </c>
      <c r="D61" s="14">
        <f t="shared" ref="D61:H65" si="3">COUNTIF(F$2:F$43,$B61)</f>
        <v>0</v>
      </c>
      <c r="E61" s="14">
        <f t="shared" si="3"/>
        <v>0</v>
      </c>
      <c r="F61" s="14">
        <f>COUNTIF(H$2:H$43,$B61)</f>
        <v>1</v>
      </c>
      <c r="G61" s="15">
        <f t="shared" si="3"/>
        <v>1</v>
      </c>
    </row>
    <row r="62" spans="1:7" ht="12.75" x14ac:dyDescent="0.2">
      <c r="A62" s="10" t="s">
        <v>35</v>
      </c>
      <c r="B62" s="9">
        <v>2</v>
      </c>
      <c r="C62" s="16">
        <f t="shared" ref="C62:C65" si="4">COUNTIF(E$2:E$43,$B62)</f>
        <v>6</v>
      </c>
      <c r="D62" s="17">
        <f t="shared" si="3"/>
        <v>5</v>
      </c>
      <c r="E62" s="17">
        <f t="shared" si="3"/>
        <v>5</v>
      </c>
      <c r="F62" s="17">
        <f t="shared" si="3"/>
        <v>5</v>
      </c>
      <c r="G62" s="18">
        <f t="shared" si="3"/>
        <v>7</v>
      </c>
    </row>
    <row r="63" spans="1:7" ht="12.75" x14ac:dyDescent="0.2">
      <c r="A63" s="10" t="s">
        <v>36</v>
      </c>
      <c r="B63" s="9">
        <v>3</v>
      </c>
      <c r="C63" s="16">
        <f t="shared" si="4"/>
        <v>25</v>
      </c>
      <c r="D63" s="17">
        <f t="shared" si="3"/>
        <v>17</v>
      </c>
      <c r="E63" s="17">
        <f t="shared" si="3"/>
        <v>13</v>
      </c>
      <c r="F63" s="17">
        <f t="shared" si="3"/>
        <v>13</v>
      </c>
      <c r="G63" s="18">
        <f t="shared" si="3"/>
        <v>5</v>
      </c>
    </row>
    <row r="64" spans="1:7" ht="12.75" x14ac:dyDescent="0.2">
      <c r="A64" s="10" t="s">
        <v>37</v>
      </c>
      <c r="B64" s="9">
        <v>4</v>
      </c>
      <c r="C64" s="16">
        <f t="shared" si="4"/>
        <v>6</v>
      </c>
      <c r="D64" s="17">
        <f t="shared" si="3"/>
        <v>15</v>
      </c>
      <c r="E64" s="17">
        <f t="shared" si="3"/>
        <v>21</v>
      </c>
      <c r="F64" s="17">
        <f t="shared" si="3"/>
        <v>18</v>
      </c>
      <c r="G64" s="18">
        <f t="shared" si="3"/>
        <v>17</v>
      </c>
    </row>
    <row r="65" spans="1:7" ht="12.75" x14ac:dyDescent="0.2">
      <c r="A65" s="10" t="s">
        <v>38</v>
      </c>
      <c r="B65" s="9">
        <v>5</v>
      </c>
      <c r="C65" s="21">
        <f t="shared" si="4"/>
        <v>3</v>
      </c>
      <c r="D65" s="19">
        <f t="shared" si="3"/>
        <v>5</v>
      </c>
      <c r="E65" s="19">
        <f t="shared" si="3"/>
        <v>3</v>
      </c>
      <c r="F65" s="19">
        <f t="shared" si="3"/>
        <v>5</v>
      </c>
      <c r="G65" s="20">
        <f t="shared" si="3"/>
        <v>12</v>
      </c>
    </row>
    <row r="66" spans="1:7" ht="12.75" x14ac:dyDescent="0.2">
      <c r="A66" s="4"/>
    </row>
    <row r="67" spans="1:7" ht="12.75" x14ac:dyDescent="0.2">
      <c r="A67" s="4"/>
    </row>
    <row r="68" spans="1:7" ht="12.75" x14ac:dyDescent="0.2">
      <c r="A68" s="4"/>
    </row>
    <row r="69" spans="1:7" ht="12.75" x14ac:dyDescent="0.2">
      <c r="A69" s="4"/>
    </row>
    <row r="70" spans="1:7" ht="12.75" x14ac:dyDescent="0.2">
      <c r="A70" s="4"/>
    </row>
    <row r="71" spans="1:7" ht="12.75" x14ac:dyDescent="0.2">
      <c r="A71" s="4"/>
    </row>
    <row r="72" spans="1:7" ht="12.75" x14ac:dyDescent="0.2">
      <c r="A72" s="4"/>
    </row>
    <row r="73" spans="1:7" ht="12.75" x14ac:dyDescent="0.2">
      <c r="A73" s="4"/>
    </row>
    <row r="74" spans="1:7" ht="12.75" x14ac:dyDescent="0.2">
      <c r="A74" s="4"/>
    </row>
    <row r="75" spans="1:7" ht="12.75" x14ac:dyDescent="0.2">
      <c r="A75" s="4"/>
    </row>
    <row r="76" spans="1:7" ht="12.75" x14ac:dyDescent="0.2">
      <c r="A76" s="4"/>
    </row>
    <row r="77" spans="1:7" ht="12.75" x14ac:dyDescent="0.2">
      <c r="A77" s="4"/>
    </row>
    <row r="78" spans="1:7" ht="12.75" x14ac:dyDescent="0.2">
      <c r="A78" s="4"/>
    </row>
    <row r="79" spans="1:7" ht="12.75" x14ac:dyDescent="0.2">
      <c r="A79" s="4"/>
    </row>
    <row r="80" spans="1:7" ht="12.75" x14ac:dyDescent="0.2">
      <c r="A80" s="4"/>
    </row>
    <row r="81" spans="1:1" ht="12.75" x14ac:dyDescent="0.2">
      <c r="A81" s="4"/>
    </row>
    <row r="82" spans="1:1" ht="12.75" x14ac:dyDescent="0.2">
      <c r="A82" s="4"/>
    </row>
    <row r="83" spans="1:1" ht="12.75" x14ac:dyDescent="0.2">
      <c r="A83" s="4"/>
    </row>
    <row r="84" spans="1:1" ht="12.75" x14ac:dyDescent="0.2">
      <c r="A84" s="4"/>
    </row>
    <row r="85" spans="1:1" ht="12.75" x14ac:dyDescent="0.2">
      <c r="A85" s="4"/>
    </row>
    <row r="86" spans="1:1" ht="12.75" x14ac:dyDescent="0.2">
      <c r="A86" s="4"/>
    </row>
    <row r="87" spans="1:1" ht="12.75" x14ac:dyDescent="0.2">
      <c r="A87" s="4"/>
    </row>
    <row r="88" spans="1:1" ht="12.75" x14ac:dyDescent="0.2">
      <c r="A88" s="4"/>
    </row>
    <row r="89" spans="1:1" ht="12.75" x14ac:dyDescent="0.2">
      <c r="A89" s="4"/>
    </row>
    <row r="90" spans="1:1" ht="12.75" x14ac:dyDescent="0.2">
      <c r="A9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2026-04-24T17:14:01Z</dcterms:modified>
</cp:coreProperties>
</file>